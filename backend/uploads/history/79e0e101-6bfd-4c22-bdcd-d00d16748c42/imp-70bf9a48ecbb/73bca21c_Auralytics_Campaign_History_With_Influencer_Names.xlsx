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yushi Soni\Downloads\"/>
    </mc:Choice>
  </mc:AlternateContent>
  <xr:revisionPtr revIDLastSave="0" documentId="11_C213AE2008AA33F89F59268BB442E72EEFEEBBCD" xr6:coauthVersionLast="47" xr6:coauthVersionMax="47" xr10:uidLastSave="{00000000-0000-0000-0000-000000000000}"/>
  <bookViews>
    <workbookView xWindow="1536" yWindow="1536" windowWidth="16944" windowHeight="8880" xr2:uid="{00000000-000D-0000-FFFF-FFFF00000000}"/>
  </bookViews>
  <sheets>
    <sheet name="Campaign_Data" sheetId="1" r:id="rId1"/>
    <sheet name="Influencer_Discovery" sheetId="2" r:id="rId2"/>
  </sheets>
  <calcPr calcId="191029"/>
</workbook>
</file>

<file path=xl/calcChain.xml><?xml version="1.0" encoding="utf-8"?>
<calcChain xmlns="http://schemas.openxmlformats.org/spreadsheetml/2006/main">
  <c r="V6" i="1" l="1"/>
  <c r="V5" i="1"/>
  <c r="V4" i="1"/>
  <c r="V3" i="1"/>
  <c r="V2" i="1"/>
</calcChain>
</file>

<file path=xl/sharedStrings.xml><?xml version="1.0" encoding="utf-8"?>
<sst xmlns="http://schemas.openxmlformats.org/spreadsheetml/2006/main" count="275" uniqueCount="150">
  <si>
    <t>Campaign ID</t>
  </si>
  <si>
    <t>Campaign Name</t>
  </si>
  <si>
    <t>Brand</t>
  </si>
  <si>
    <t>Product</t>
  </si>
  <si>
    <t>Platform</t>
  </si>
  <si>
    <t>Start Date</t>
  </si>
  <si>
    <t>End Date</t>
  </si>
  <si>
    <t>Objective</t>
  </si>
  <si>
    <t>Target Audience</t>
  </si>
  <si>
    <t>Planned Budget (INR)</t>
  </si>
  <si>
    <t>Influencer Names</t>
  </si>
  <si>
    <t>Influencers Selected</t>
  </si>
  <si>
    <t>Campaign Stage</t>
  </si>
  <si>
    <t>Outreach Status</t>
  </si>
  <si>
    <t>Contract Status</t>
  </si>
  <si>
    <t>Amount Spent (INR)</t>
  </si>
  <si>
    <t>Total Reach</t>
  </si>
  <si>
    <t>Engagement Rate</t>
  </si>
  <si>
    <t>Clicks</t>
  </si>
  <si>
    <t>Conversions</t>
  </si>
  <si>
    <t>Revenue Generated (INR)</t>
  </si>
  <si>
    <t>ROAS</t>
  </si>
  <si>
    <t>Final Status</t>
  </si>
  <si>
    <t>Notes</t>
  </si>
  <si>
    <t>CMP-001</t>
  </si>
  <si>
    <t>Glow Serum Launch</t>
  </si>
  <si>
    <t>GlowNaturals</t>
  </si>
  <si>
    <t>Vitamin C Serum</t>
  </si>
  <si>
    <t>Instagram</t>
  </si>
  <si>
    <t>Product Launch / Sales</t>
  </si>
  <si>
    <t>Women 18-34, skincare interested</t>
  </si>
  <si>
    <t>Khushi Malhotra; Riya Mehta; Aanya Kapoor</t>
  </si>
  <si>
    <t>Completed</t>
  </si>
  <si>
    <t>Signed</t>
  </si>
  <si>
    <t>Strong beauty-creator performance; reusable UGC identified.</t>
  </si>
  <si>
    <t>CMP-002</t>
  </si>
  <si>
    <t>Summer Fizz Campaign</t>
  </si>
  <si>
    <t>FizzUp</t>
  </si>
  <si>
    <t>Soft Drink</t>
  </si>
  <si>
    <t>Instagram + YouTube</t>
  </si>
  <si>
    <t>Brand Awareness</t>
  </si>
  <si>
    <t>Gen Z, college students, urban India</t>
  </si>
  <si>
    <t>Arjun Rao; Neha Joshi; Kabir Shah; Mira Patel</t>
  </si>
  <si>
    <t>Short-form reels produced the highest reach.</t>
  </si>
  <si>
    <t>CMP-003</t>
  </si>
  <si>
    <t>Fuel Your Day</t>
  </si>
  <si>
    <t>FitFuel</t>
  </si>
  <si>
    <t>Protein Bar</t>
  </si>
  <si>
    <t>Conversions / Fitness Awareness</t>
  </si>
  <si>
    <t>Fitness enthusiasts 20-38</t>
  </si>
  <si>
    <t>Dev Fitness; Anika Strong; Rohan Moves</t>
  </si>
  <si>
    <t>Micro fitness influencers delivered the best conversion rate.</t>
  </si>
  <si>
    <t>CMP-004</t>
  </si>
  <si>
    <t>Festive Style Edit</t>
  </si>
  <si>
    <t>UrbanThread</t>
  </si>
  <si>
    <t>Ethnic Fashion Collection</t>
  </si>
  <si>
    <t>Sales / Collection Awareness</t>
  </si>
  <si>
    <t>Women 20-40, fashion and festive shoppers</t>
  </si>
  <si>
    <t>Isha Style; Naina Closet; Tara Shah; Meera Jain; Roshni Kapoor</t>
  </si>
  <si>
    <t>Creator discount codes generated measurable direct sales.</t>
  </si>
  <si>
    <t>CMP-005</t>
  </si>
  <si>
    <t>Hear More Launch</t>
  </si>
  <si>
    <t>NeoPods</t>
  </si>
  <si>
    <t>Wireless Earbuds</t>
  </si>
  <si>
    <t>YouTube + Instagram</t>
  </si>
  <si>
    <t>Product Launch / Consideration</t>
  </si>
  <si>
    <t>Tech buyers 18-35</t>
  </si>
  <si>
    <t>Tech With Aarav; Gadget Mira; Rishi Tech; Nikhil Reviews</t>
  </si>
  <si>
    <t>Tech review videos drove high-intent clicks and conversions.</t>
  </si>
  <si>
    <t>CMP-006</t>
  </si>
  <si>
    <t>Zero Sugar Refresh</t>
  </si>
  <si>
    <t>FreshSip</t>
  </si>
  <si>
    <t>Zero Sugar Soft Drink</t>
  </si>
  <si>
    <t>Awareness + Product Trial</t>
  </si>
  <si>
    <t>Gen Z and young professionals 18-32</t>
  </si>
  <si>
    <t>Rhea Vora; Yash Khanna; Simran Bedi; Kunal Verma</t>
  </si>
  <si>
    <t>Influencer Discovery Complete</t>
  </si>
  <si>
    <t>Not Started</t>
  </si>
  <si>
    <t>In Progress</t>
  </si>
  <si>
    <t>Strategy and influencer discovery completed. Four influencers discovered/recommended; no outreach started yet.</t>
  </si>
  <si>
    <t>Influencer Name</t>
  </si>
  <si>
    <t>Handle</t>
  </si>
  <si>
    <t>Category</t>
  </si>
  <si>
    <t>Followers</t>
  </si>
  <si>
    <t>Audience Fit Score</t>
  </si>
  <si>
    <t>Match Score</t>
  </si>
  <si>
    <t>Predicted ROAS</t>
  </si>
  <si>
    <t>Discovery Decision</t>
  </si>
  <si>
    <t>Outreach Result</t>
  </si>
  <si>
    <t>Khushi Malhotra</t>
  </si>
  <si>
    <t>@khushiiimalhotra</t>
  </si>
  <si>
    <t>Beauty</t>
  </si>
  <si>
    <t>Selected</t>
  </si>
  <si>
    <t>Accepted</t>
  </si>
  <si>
    <t>Riya Mehta</t>
  </si>
  <si>
    <t>@riyaglow</t>
  </si>
  <si>
    <t>Skincare</t>
  </si>
  <si>
    <t>Aanya Kapoor</t>
  </si>
  <si>
    <t>@aanyaskin</t>
  </si>
  <si>
    <t>Arjun Rao</t>
  </si>
  <si>
    <t>@arjunvibes</t>
  </si>
  <si>
    <t>Lifestyle</t>
  </si>
  <si>
    <t>Neha Joshi</t>
  </si>
  <si>
    <t>@nehaj</t>
  </si>
  <si>
    <t>YouTube</t>
  </si>
  <si>
    <t>Kabir Shah</t>
  </si>
  <si>
    <t>@kabircreates</t>
  </si>
  <si>
    <t>Comedy</t>
  </si>
  <si>
    <t>Mira Patel</t>
  </si>
  <si>
    <t>@mirapatel</t>
  </si>
  <si>
    <t>College/Lifestyle</t>
  </si>
  <si>
    <t>Dev Fitness</t>
  </si>
  <si>
    <t>@devfitdaily</t>
  </si>
  <si>
    <t>Fitness</t>
  </si>
  <si>
    <t>Anika Strong</t>
  </si>
  <si>
    <t>@anikastrong</t>
  </si>
  <si>
    <t>Rohan Moves</t>
  </si>
  <si>
    <t>@rohanmoves</t>
  </si>
  <si>
    <t>Isha Style</t>
  </si>
  <si>
    <t>@ishastyle</t>
  </si>
  <si>
    <t>Fashion</t>
  </si>
  <si>
    <t>Naina Closet</t>
  </si>
  <si>
    <t>@nainacloset</t>
  </si>
  <si>
    <t>Tara Shah</t>
  </si>
  <si>
    <t>@tarastyles</t>
  </si>
  <si>
    <t>Meera Jain</t>
  </si>
  <si>
    <t>@meerafestive</t>
  </si>
  <si>
    <t>Roshni Kapoor</t>
  </si>
  <si>
    <t>@roshnik</t>
  </si>
  <si>
    <t>Tech With Aarav</t>
  </si>
  <si>
    <t>@techwithaarav</t>
  </si>
  <si>
    <t>Technology</t>
  </si>
  <si>
    <t>Gadget Mira</t>
  </si>
  <si>
    <t>@gadgetmira</t>
  </si>
  <si>
    <t>Rishi Tech</t>
  </si>
  <si>
    <t>@rishitech</t>
  </si>
  <si>
    <t>Nikhil Reviews</t>
  </si>
  <si>
    <t>@nikhilreviews</t>
  </si>
  <si>
    <t>Rhea Vora</t>
  </si>
  <si>
    <t>@rheavora</t>
  </si>
  <si>
    <t>Lifestyle/Food</t>
  </si>
  <si>
    <t>Recommended</t>
  </si>
  <si>
    <t>Yash Khanna</t>
  </si>
  <si>
    <t>@yashkhanna</t>
  </si>
  <si>
    <t>Food/Lifestyle</t>
  </si>
  <si>
    <t>Simran Bedi</t>
  </si>
  <si>
    <t>@simranbedi</t>
  </si>
  <si>
    <t>Fitness/Lifestyle</t>
  </si>
  <si>
    <t>Kunal Verma</t>
  </si>
  <si>
    <t>@kunalv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</si>
</sst>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\₹#,##0"/>
    <numFmt numFmtId="166" formatCode="0.0%"/>
    <numFmt numFmtId="167" formatCode="0.00\x"/>
    <numFmt numFmtId="168" formatCode="0.0\x"/>
  </numFmts>
  <fonts count="2">
    <font>
      <sz val="11"/>
      <name val="Carlito"/>
    </font>
    <font>
      <b/>
      <sz val="12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</cellXfs>
  <cellStyles count="1">
    <cellStyle name="Normal" xfId="0" builtinId="0"/>
  </cellStyles>
  <dxfs count="3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HistoryTable" displayName="CampaignHistoryTable" ref="A1:X7" totalsRowShown="0">
  <tableColumns count="24">
    <tableColumn id="1" xr3:uid="{00000000-0010-0000-0000-000001000000}" name="Campaign ID"/>
    <tableColumn id="2" xr3:uid="{00000000-0010-0000-0000-000002000000}" name="Campaign Name"/>
    <tableColumn id="3" xr3:uid="{00000000-0010-0000-0000-000003000000}" name="Brand"/>
    <tableColumn id="4" xr3:uid="{00000000-0010-0000-0000-000004000000}" name="Product"/>
    <tableColumn id="5" xr3:uid="{00000000-0010-0000-0000-000005000000}" name="Platform"/>
    <tableColumn id="6" xr3:uid="{00000000-0010-0000-0000-000006000000}" name="Start Date"/>
    <tableColumn id="7" xr3:uid="{00000000-0010-0000-0000-000007000000}" name="End Date"/>
    <tableColumn id="8" xr3:uid="{00000000-0010-0000-0000-000008000000}" name="Objective"/>
    <tableColumn id="9" xr3:uid="{00000000-0010-0000-0000-000009000000}" name="Target Audience"/>
    <tableColumn id="10" xr3:uid="{00000000-0010-0000-0000-00000A000000}" name="Planned Budget (INR)"/>
    <tableColumn id="11" xr3:uid="{00000000-0010-0000-0000-00000B000000}" name="Influencer Names"/>
    <tableColumn id="12" xr3:uid="{00000000-0010-0000-0000-00000C000000}" name="Influencers Selected"/>
    <tableColumn id="13" xr3:uid="{00000000-0010-0000-0000-00000D000000}" name="Campaign Stage"/>
    <tableColumn id="14" xr3:uid="{00000000-0010-0000-0000-00000E000000}" name="Outreach Status"/>
    <tableColumn id="15" xr3:uid="{00000000-0010-0000-0000-00000F000000}" name="Contract Status"/>
    <tableColumn id="16" xr3:uid="{00000000-0010-0000-0000-000010000000}" name="Amount Spent (INR)"/>
    <tableColumn id="17" xr3:uid="{00000000-0010-0000-0000-000011000000}" name="Total Reach"/>
    <tableColumn id="18" xr3:uid="{00000000-0010-0000-0000-000012000000}" name="Engagement Rate"/>
    <tableColumn id="19" xr3:uid="{00000000-0010-0000-0000-000013000000}" name="Clicks"/>
    <tableColumn id="20" xr3:uid="{00000000-0010-0000-0000-000014000000}" name="Conversions"/>
    <tableColumn id="21" xr3:uid="{00000000-0010-0000-0000-000015000000}" name="Revenue Generated (INR)"/>
    <tableColumn id="22" xr3:uid="{00000000-0010-0000-0000-000016000000}" name="ROAS"/>
    <tableColumn id="23" xr3:uid="{00000000-0010-0000-0000-000017000000}" name="Final Status"/>
    <tableColumn id="24" xr3:uid="{00000000-0010-0000-0000-00001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fluencerDiscoveryTable" displayName="InfluencerDiscoveryTable" ref="A1:L24" totalsRowShown="0">
  <tableColumns count="12">
    <tableColumn id="1" xr3:uid="{00000000-0010-0000-0100-000001000000}" name="Campaign ID"/>
    <tableColumn id="2" xr3:uid="{00000000-0010-0000-0100-000002000000}" name="Influencer Name"/>
    <tableColumn id="3" xr3:uid="{00000000-0010-0000-0100-000003000000}" name="Handle"/>
    <tableColumn id="4" xr3:uid="{00000000-0010-0000-0100-000004000000}" name="Platform"/>
    <tableColumn id="5" xr3:uid="{00000000-0010-0000-0100-000005000000}" name="Category"/>
    <tableColumn id="6" xr3:uid="{00000000-0010-0000-0100-000006000000}" name="Followers"/>
    <tableColumn id="7" xr3:uid="{00000000-0010-0000-0100-000007000000}" name="Engagement Rate"/>
    <tableColumn id="8" xr3:uid="{00000000-0010-0000-0100-000008000000}" name="Audience Fit Score"/>
    <tableColumn id="9" xr3:uid="{00000000-0010-0000-0100-000009000000}" name="Match Score"/>
    <tableColumn id="10" xr3:uid="{00000000-0010-0000-0100-00000A000000}" name="Predicted ROAS"/>
    <tableColumn id="11" xr3:uid="{00000000-0010-0000-0100-00000B000000}" name="Discovery Decision"/>
    <tableColumn id="12" xr3:uid="{00000000-0010-0000-0100-00000C000000}" name="Outreach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workbookViewId="0"/>
  </sheetViews>
  <sheetFormatPr defaultRowHeight="13.8"/>
  <cols>
    <col min="1" max="1" width="12" customWidth="1"/>
    <col min="2" max="2" width="24" customWidth="1"/>
    <col min="3" max="3" width="17" customWidth="1"/>
    <col min="4" max="4" width="23" customWidth="1"/>
    <col min="5" max="5" width="20" customWidth="1"/>
    <col min="6" max="7" width="13" customWidth="1"/>
    <col min="8" max="8" width="24" customWidth="1"/>
    <col min="9" max="9" width="32" customWidth="1"/>
    <col min="10" max="10" width="18" customWidth="1"/>
    <col min="11" max="11" width="42" customWidth="1"/>
    <col min="12" max="12" width="18" customWidth="1"/>
    <col min="13" max="13" width="27" customWidth="1"/>
    <col min="14" max="15" width="17" customWidth="1"/>
    <col min="16" max="16" width="18" customWidth="1"/>
    <col min="17" max="17" width="15" customWidth="1"/>
    <col min="18" max="18" width="16" customWidth="1"/>
    <col min="19" max="20" width="13" customWidth="1"/>
    <col min="21" max="21" width="23" customWidth="1"/>
    <col min="22" max="22" width="10" customWidth="1"/>
    <col min="23" max="23" width="16" customWidth="1"/>
    <col min="24" max="24" width="44" customWidth="1"/>
  </cols>
  <sheetData>
    <row r="1" spans="1:24" ht="31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7.6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3">
        <v>46032</v>
      </c>
      <c r="G2" s="3">
        <v>46063</v>
      </c>
      <c r="H2" s="2" t="s">
        <v>29</v>
      </c>
      <c r="I2" s="2" t="s">
        <v>30</v>
      </c>
      <c r="J2" s="4">
        <v>300000</v>
      </c>
      <c r="K2" s="2" t="s">
        <v>31</v>
      </c>
      <c r="L2" s="2">
        <v>3</v>
      </c>
      <c r="M2" s="2" t="s">
        <v>32</v>
      </c>
      <c r="N2" s="2" t="s">
        <v>32</v>
      </c>
      <c r="O2" s="2" t="s">
        <v>33</v>
      </c>
      <c r="P2" s="4">
        <v>282000</v>
      </c>
      <c r="Q2" s="7">
        <v>680000</v>
      </c>
      <c r="R2" s="5">
        <v>7.8E-2</v>
      </c>
      <c r="S2" s="7">
        <v>31500</v>
      </c>
      <c r="T2" s="7">
        <v>2650</v>
      </c>
      <c r="U2" s="4">
        <v>846000</v>
      </c>
      <c r="V2" s="6">
        <f>IFERROR(U2/P2,0)</f>
        <v>3</v>
      </c>
      <c r="W2" s="2" t="s">
        <v>32</v>
      </c>
      <c r="X2" s="2" t="s">
        <v>34</v>
      </c>
    </row>
    <row r="3" spans="1:24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3">
        <v>46082</v>
      </c>
      <c r="G3" s="3">
        <v>46112</v>
      </c>
      <c r="H3" s="2" t="s">
        <v>40</v>
      </c>
      <c r="I3" s="2" t="s">
        <v>41</v>
      </c>
      <c r="J3" s="4">
        <v>500000</v>
      </c>
      <c r="K3" s="2" t="s">
        <v>42</v>
      </c>
      <c r="L3" s="2">
        <v>4</v>
      </c>
      <c r="M3" s="2" t="s">
        <v>32</v>
      </c>
      <c r="N3" s="2" t="s">
        <v>32</v>
      </c>
      <c r="O3" s="2" t="s">
        <v>33</v>
      </c>
      <c r="P3" s="4">
        <v>468000</v>
      </c>
      <c r="Q3" s="7">
        <v>1250000</v>
      </c>
      <c r="R3" s="5">
        <v>9.0999999999999998E-2</v>
      </c>
      <c r="S3" s="7">
        <v>48200</v>
      </c>
      <c r="T3" s="7">
        <v>3100</v>
      </c>
      <c r="U3" s="4">
        <v>1123000</v>
      </c>
      <c r="V3" s="6">
        <f>IFERROR(U3/P3,0)</f>
        <v>2.3995726495726495</v>
      </c>
      <c r="W3" s="2" t="s">
        <v>32</v>
      </c>
      <c r="X3" s="2" t="s">
        <v>43</v>
      </c>
    </row>
    <row r="4" spans="1:24" ht="27.6">
      <c r="A4" s="2" t="s">
        <v>44</v>
      </c>
      <c r="B4" s="2" t="s">
        <v>45</v>
      </c>
      <c r="C4" s="2" t="s">
        <v>46</v>
      </c>
      <c r="D4" s="2" t="s">
        <v>47</v>
      </c>
      <c r="E4" s="2" t="s">
        <v>28</v>
      </c>
      <c r="F4" s="3">
        <v>46117</v>
      </c>
      <c r="G4" s="3">
        <v>46147</v>
      </c>
      <c r="H4" s="2" t="s">
        <v>48</v>
      </c>
      <c r="I4" s="2" t="s">
        <v>49</v>
      </c>
      <c r="J4" s="4">
        <v>250000</v>
      </c>
      <c r="K4" s="2" t="s">
        <v>50</v>
      </c>
      <c r="L4" s="2">
        <v>3</v>
      </c>
      <c r="M4" s="2" t="s">
        <v>32</v>
      </c>
      <c r="N4" s="2" t="s">
        <v>32</v>
      </c>
      <c r="O4" s="2" t="s">
        <v>33</v>
      </c>
      <c r="P4" s="4">
        <v>238000</v>
      </c>
      <c r="Q4" s="7">
        <v>540000</v>
      </c>
      <c r="R4" s="5">
        <v>6.9000000000000006E-2</v>
      </c>
      <c r="S4" s="7">
        <v>21400</v>
      </c>
      <c r="T4" s="7">
        <v>1940</v>
      </c>
      <c r="U4" s="4">
        <v>642000</v>
      </c>
      <c r="V4" s="6">
        <f>IFERROR(U4/P4,0)</f>
        <v>2.6974789915966388</v>
      </c>
      <c r="W4" s="2" t="s">
        <v>32</v>
      </c>
      <c r="X4" s="2" t="s">
        <v>51</v>
      </c>
    </row>
    <row r="5" spans="1:24" ht="27.6">
      <c r="A5" s="2" t="s">
        <v>52</v>
      </c>
      <c r="B5" s="2" t="s">
        <v>53</v>
      </c>
      <c r="C5" s="2" t="s">
        <v>54</v>
      </c>
      <c r="D5" s="2" t="s">
        <v>55</v>
      </c>
      <c r="E5" s="2" t="s">
        <v>39</v>
      </c>
      <c r="F5" s="3">
        <v>46174</v>
      </c>
      <c r="G5" s="3">
        <v>46203</v>
      </c>
      <c r="H5" s="2" t="s">
        <v>56</v>
      </c>
      <c r="I5" s="2" t="s">
        <v>57</v>
      </c>
      <c r="J5" s="4">
        <v>650000</v>
      </c>
      <c r="K5" s="2" t="s">
        <v>58</v>
      </c>
      <c r="L5" s="2">
        <v>5</v>
      </c>
      <c r="M5" s="2" t="s">
        <v>32</v>
      </c>
      <c r="N5" s="2" t="s">
        <v>32</v>
      </c>
      <c r="O5" s="2" t="s">
        <v>33</v>
      </c>
      <c r="P5" s="4">
        <v>621000</v>
      </c>
      <c r="Q5" s="7">
        <v>1480000</v>
      </c>
      <c r="R5" s="5">
        <v>8.3000000000000004E-2</v>
      </c>
      <c r="S5" s="7">
        <v>55700</v>
      </c>
      <c r="T5" s="7">
        <v>4210</v>
      </c>
      <c r="U5" s="4">
        <v>1615000</v>
      </c>
      <c r="V5" s="6">
        <f>IFERROR(U5/P5,0)</f>
        <v>2.6006441223832528</v>
      </c>
      <c r="W5" s="2" t="s">
        <v>32</v>
      </c>
      <c r="X5" s="2" t="s">
        <v>59</v>
      </c>
    </row>
    <row r="6" spans="1:24" ht="27.6">
      <c r="A6" s="2" t="s">
        <v>60</v>
      </c>
      <c r="B6" s="2" t="s">
        <v>61</v>
      </c>
      <c r="C6" s="2" t="s">
        <v>62</v>
      </c>
      <c r="D6" s="2" t="s">
        <v>63</v>
      </c>
      <c r="E6" s="2" t="s">
        <v>64</v>
      </c>
      <c r="F6" s="3">
        <v>46213</v>
      </c>
      <c r="G6" s="3">
        <v>46244</v>
      </c>
      <c r="H6" s="2" t="s">
        <v>65</v>
      </c>
      <c r="I6" s="2" t="s">
        <v>66</v>
      </c>
      <c r="J6" s="4">
        <v>800000</v>
      </c>
      <c r="K6" s="2" t="s">
        <v>67</v>
      </c>
      <c r="L6" s="2">
        <v>4</v>
      </c>
      <c r="M6" s="2" t="s">
        <v>32</v>
      </c>
      <c r="N6" s="2" t="s">
        <v>32</v>
      </c>
      <c r="O6" s="2" t="s">
        <v>33</v>
      </c>
      <c r="P6" s="4">
        <v>756000</v>
      </c>
      <c r="Q6" s="7">
        <v>1720000</v>
      </c>
      <c r="R6" s="5">
        <v>6.4000000000000001E-2</v>
      </c>
      <c r="S6" s="7">
        <v>68900</v>
      </c>
      <c r="T6" s="7">
        <v>3780</v>
      </c>
      <c r="U6" s="4">
        <v>1890000</v>
      </c>
      <c r="V6" s="6">
        <f>IFERROR(U6/P6,0)</f>
        <v>2.5</v>
      </c>
      <c r="W6" s="2" t="s">
        <v>32</v>
      </c>
      <c r="X6" s="2" t="s">
        <v>68</v>
      </c>
    </row>
    <row r="7" spans="1:24" ht="41.4">
      <c r="A7" s="2" t="s">
        <v>69</v>
      </c>
      <c r="B7" s="2" t="s">
        <v>70</v>
      </c>
      <c r="C7" s="2" t="s">
        <v>71</v>
      </c>
      <c r="D7" s="2" t="s">
        <v>72</v>
      </c>
      <c r="E7" s="2" t="s">
        <v>39</v>
      </c>
      <c r="F7" s="3">
        <v>46270</v>
      </c>
      <c r="G7" s="3">
        <v>46300</v>
      </c>
      <c r="H7" s="2" t="s">
        <v>73</v>
      </c>
      <c r="I7" s="2" t="s">
        <v>74</v>
      </c>
      <c r="J7" s="4">
        <v>400000</v>
      </c>
      <c r="K7" s="2" t="s">
        <v>75</v>
      </c>
      <c r="L7" s="2">
        <v>0</v>
      </c>
      <c r="M7" s="2" t="s">
        <v>76</v>
      </c>
      <c r="N7" s="2" t="s">
        <v>77</v>
      </c>
      <c r="O7" s="2" t="s">
        <v>77</v>
      </c>
      <c r="P7" s="4"/>
      <c r="Q7" s="7"/>
      <c r="R7" s="5"/>
      <c r="S7" s="7"/>
      <c r="T7" s="7"/>
      <c r="U7" s="4"/>
      <c r="V7" s="6"/>
      <c r="W7" s="2" t="s">
        <v>78</v>
      </c>
      <c r="X7" s="2" t="s">
        <v>79</v>
      </c>
    </row>
  </sheetData>
  <conditionalFormatting sqref="W2:W7">
    <cfRule type="expression" dxfId="2" priority="1">
      <formula>W2="Completed"</formula>
    </cfRule>
    <cfRule type="expression" dxfId="1" priority="2">
      <formula>W2="In Progress"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/>
  </sheetViews>
  <sheetFormatPr defaultRowHeight="13.8"/>
  <cols>
    <col min="1" max="1" width="12" customWidth="1"/>
    <col min="2" max="3" width="22" customWidth="1"/>
    <col min="4" max="4" width="15" customWidth="1"/>
    <col min="5" max="5" width="20" customWidth="1"/>
    <col min="6" max="6" width="13" customWidth="1"/>
    <col min="7" max="7" width="16" customWidth="1"/>
    <col min="8" max="9" width="17" customWidth="1"/>
    <col min="10" max="10" width="15" customWidth="1"/>
    <col min="11" max="11" width="19" customWidth="1"/>
    <col min="12" max="12" width="17" customWidth="1"/>
  </cols>
  <sheetData>
    <row r="1" spans="1:12" ht="31.2">
      <c r="A1" s="1" t="s">
        <v>0</v>
      </c>
      <c r="B1" s="1" t="s">
        <v>80</v>
      </c>
      <c r="C1" s="1" t="s">
        <v>81</v>
      </c>
      <c r="D1" s="1" t="s">
        <v>4</v>
      </c>
      <c r="E1" s="1" t="s">
        <v>82</v>
      </c>
      <c r="F1" s="1" t="s">
        <v>83</v>
      </c>
      <c r="G1" s="1" t="s">
        <v>17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</row>
    <row r="2" spans="1:12">
      <c r="A2" s="2" t="s">
        <v>24</v>
      </c>
      <c r="B2" s="2" t="s">
        <v>89</v>
      </c>
      <c r="C2" s="2" t="s">
        <v>90</v>
      </c>
      <c r="D2" s="2" t="s">
        <v>28</v>
      </c>
      <c r="E2" s="2" t="s">
        <v>91</v>
      </c>
      <c r="F2" s="7">
        <v>420000</v>
      </c>
      <c r="G2" s="5">
        <v>7.0999999999999994E-2</v>
      </c>
      <c r="H2" s="8">
        <v>92</v>
      </c>
      <c r="I2" s="8">
        <v>94</v>
      </c>
      <c r="J2" s="9">
        <v>3.4</v>
      </c>
      <c r="K2" s="2" t="s">
        <v>92</v>
      </c>
      <c r="L2" s="2" t="s">
        <v>93</v>
      </c>
    </row>
    <row r="3" spans="1:12">
      <c r="A3" s="2" t="s">
        <v>24</v>
      </c>
      <c r="B3" s="2" t="s">
        <v>94</v>
      </c>
      <c r="C3" s="2" t="s">
        <v>95</v>
      </c>
      <c r="D3" s="2" t="s">
        <v>28</v>
      </c>
      <c r="E3" s="2" t="s">
        <v>96</v>
      </c>
      <c r="F3" s="7">
        <v>185000</v>
      </c>
      <c r="G3" s="5">
        <v>8.3000000000000004E-2</v>
      </c>
      <c r="H3" s="8">
        <v>89</v>
      </c>
      <c r="I3" s="8">
        <v>91</v>
      </c>
      <c r="J3" s="9">
        <v>3.1</v>
      </c>
      <c r="K3" s="2" t="s">
        <v>92</v>
      </c>
      <c r="L3" s="2" t="s">
        <v>93</v>
      </c>
    </row>
    <row r="4" spans="1:12">
      <c r="A4" s="2" t="s">
        <v>24</v>
      </c>
      <c r="B4" s="2" t="s">
        <v>97</v>
      </c>
      <c r="C4" s="2" t="s">
        <v>98</v>
      </c>
      <c r="D4" s="2" t="s">
        <v>28</v>
      </c>
      <c r="E4" s="2" t="s">
        <v>91</v>
      </c>
      <c r="F4" s="7">
        <v>98000</v>
      </c>
      <c r="G4" s="5">
        <v>0.10199999999999999</v>
      </c>
      <c r="H4" s="8">
        <v>87</v>
      </c>
      <c r="I4" s="8">
        <v>90</v>
      </c>
      <c r="J4" s="9">
        <v>2.9</v>
      </c>
      <c r="K4" s="2" t="s">
        <v>92</v>
      </c>
      <c r="L4" s="2" t="s">
        <v>93</v>
      </c>
    </row>
    <row r="5" spans="1:12">
      <c r="A5" s="2" t="s">
        <v>35</v>
      </c>
      <c r="B5" s="2" t="s">
        <v>99</v>
      </c>
      <c r="C5" s="2" t="s">
        <v>100</v>
      </c>
      <c r="D5" s="2" t="s">
        <v>28</v>
      </c>
      <c r="E5" s="2" t="s">
        <v>101</v>
      </c>
      <c r="F5" s="7">
        <v>610000</v>
      </c>
      <c r="G5" s="5">
        <v>8.7999999999999995E-2</v>
      </c>
      <c r="H5" s="8">
        <v>93</v>
      </c>
      <c r="I5" s="8">
        <v>95</v>
      </c>
      <c r="J5" s="9">
        <v>2.8</v>
      </c>
      <c r="K5" s="2" t="s">
        <v>92</v>
      </c>
      <c r="L5" s="2" t="s">
        <v>93</v>
      </c>
    </row>
    <row r="6" spans="1:12">
      <c r="A6" s="2" t="s">
        <v>35</v>
      </c>
      <c r="B6" s="2" t="s">
        <v>102</v>
      </c>
      <c r="C6" s="2" t="s">
        <v>103</v>
      </c>
      <c r="D6" s="2" t="s">
        <v>104</v>
      </c>
      <c r="E6" s="2" t="s">
        <v>101</v>
      </c>
      <c r="F6" s="7">
        <v>340000</v>
      </c>
      <c r="G6" s="5">
        <v>7.5999999999999998E-2</v>
      </c>
      <c r="H6" s="8">
        <v>90</v>
      </c>
      <c r="I6" s="8">
        <v>92</v>
      </c>
      <c r="J6" s="9">
        <v>2.6</v>
      </c>
      <c r="K6" s="2" t="s">
        <v>92</v>
      </c>
      <c r="L6" s="2" t="s">
        <v>93</v>
      </c>
    </row>
    <row r="7" spans="1:12">
      <c r="A7" s="2" t="s">
        <v>35</v>
      </c>
      <c r="B7" s="2" t="s">
        <v>105</v>
      </c>
      <c r="C7" s="2" t="s">
        <v>106</v>
      </c>
      <c r="D7" s="2" t="s">
        <v>28</v>
      </c>
      <c r="E7" s="2" t="s">
        <v>107</v>
      </c>
      <c r="F7" s="7">
        <v>525000</v>
      </c>
      <c r="G7" s="5">
        <v>9.7000000000000003E-2</v>
      </c>
      <c r="H7" s="8">
        <v>91</v>
      </c>
      <c r="I7" s="8">
        <v>93</v>
      </c>
      <c r="J7" s="9">
        <v>2.9</v>
      </c>
      <c r="K7" s="2" t="s">
        <v>92</v>
      </c>
      <c r="L7" s="2" t="s">
        <v>93</v>
      </c>
    </row>
    <row r="8" spans="1:12">
      <c r="A8" s="2" t="s">
        <v>35</v>
      </c>
      <c r="B8" s="2" t="s">
        <v>108</v>
      </c>
      <c r="C8" s="2" t="s">
        <v>109</v>
      </c>
      <c r="D8" s="2" t="s">
        <v>28</v>
      </c>
      <c r="E8" s="2" t="s">
        <v>110</v>
      </c>
      <c r="F8" s="7">
        <v>205000</v>
      </c>
      <c r="G8" s="5">
        <v>0.109</v>
      </c>
      <c r="H8" s="8">
        <v>94</v>
      </c>
      <c r="I8" s="8">
        <v>96</v>
      </c>
      <c r="J8" s="9">
        <v>3</v>
      </c>
      <c r="K8" s="2" t="s">
        <v>92</v>
      </c>
      <c r="L8" s="2" t="s">
        <v>93</v>
      </c>
    </row>
    <row r="9" spans="1:12">
      <c r="A9" s="2" t="s">
        <v>44</v>
      </c>
      <c r="B9" s="2" t="s">
        <v>111</v>
      </c>
      <c r="C9" s="2" t="s">
        <v>112</v>
      </c>
      <c r="D9" s="2" t="s">
        <v>28</v>
      </c>
      <c r="E9" s="2" t="s">
        <v>113</v>
      </c>
      <c r="F9" s="7">
        <v>155000</v>
      </c>
      <c r="G9" s="5">
        <v>8.4000000000000005E-2</v>
      </c>
      <c r="H9" s="8">
        <v>95</v>
      </c>
      <c r="I9" s="8">
        <v>96</v>
      </c>
      <c r="J9" s="9">
        <v>3.2</v>
      </c>
      <c r="K9" s="2" t="s">
        <v>92</v>
      </c>
      <c r="L9" s="2" t="s">
        <v>93</v>
      </c>
    </row>
    <row r="10" spans="1:12">
      <c r="A10" s="2" t="s">
        <v>44</v>
      </c>
      <c r="B10" s="2" t="s">
        <v>114</v>
      </c>
      <c r="C10" s="2" t="s">
        <v>115</v>
      </c>
      <c r="D10" s="2" t="s">
        <v>28</v>
      </c>
      <c r="E10" s="2" t="s">
        <v>113</v>
      </c>
      <c r="F10" s="7">
        <v>112000</v>
      </c>
      <c r="G10" s="5">
        <v>9.0999999999999998E-2</v>
      </c>
      <c r="H10" s="8">
        <v>92</v>
      </c>
      <c r="I10" s="8">
        <v>94</v>
      </c>
      <c r="J10" s="9">
        <v>2.9</v>
      </c>
      <c r="K10" s="2" t="s">
        <v>92</v>
      </c>
      <c r="L10" s="2" t="s">
        <v>93</v>
      </c>
    </row>
    <row r="11" spans="1:12">
      <c r="A11" s="2" t="s">
        <v>44</v>
      </c>
      <c r="B11" s="2" t="s">
        <v>116</v>
      </c>
      <c r="C11" s="2" t="s">
        <v>117</v>
      </c>
      <c r="D11" s="2" t="s">
        <v>28</v>
      </c>
      <c r="E11" s="2" t="s">
        <v>113</v>
      </c>
      <c r="F11" s="7">
        <v>87000</v>
      </c>
      <c r="G11" s="5">
        <v>0.105</v>
      </c>
      <c r="H11" s="8">
        <v>90</v>
      </c>
      <c r="I11" s="8">
        <v>93</v>
      </c>
      <c r="J11" s="9">
        <v>2.8</v>
      </c>
      <c r="K11" s="2" t="s">
        <v>92</v>
      </c>
      <c r="L11" s="2" t="s">
        <v>93</v>
      </c>
    </row>
    <row r="12" spans="1:12">
      <c r="A12" s="2" t="s">
        <v>52</v>
      </c>
      <c r="B12" s="2" t="s">
        <v>118</v>
      </c>
      <c r="C12" s="2" t="s">
        <v>119</v>
      </c>
      <c r="D12" s="2" t="s">
        <v>28</v>
      </c>
      <c r="E12" s="2" t="s">
        <v>120</v>
      </c>
      <c r="F12" s="7">
        <v>385000</v>
      </c>
      <c r="G12" s="5">
        <v>8.2000000000000003E-2</v>
      </c>
      <c r="H12" s="8">
        <v>94</v>
      </c>
      <c r="I12" s="8">
        <v>95</v>
      </c>
      <c r="J12" s="9">
        <v>2.7</v>
      </c>
      <c r="K12" s="2" t="s">
        <v>92</v>
      </c>
      <c r="L12" s="2" t="s">
        <v>93</v>
      </c>
    </row>
    <row r="13" spans="1:12">
      <c r="A13" s="2" t="s">
        <v>52</v>
      </c>
      <c r="B13" s="2" t="s">
        <v>121</v>
      </c>
      <c r="C13" s="2" t="s">
        <v>122</v>
      </c>
      <c r="D13" s="2" t="s">
        <v>104</v>
      </c>
      <c r="E13" s="2" t="s">
        <v>120</v>
      </c>
      <c r="F13" s="7">
        <v>475000</v>
      </c>
      <c r="G13" s="5">
        <v>6.8000000000000005E-2</v>
      </c>
      <c r="H13" s="8">
        <v>91</v>
      </c>
      <c r="I13" s="8">
        <v>92</v>
      </c>
      <c r="J13" s="9">
        <v>2.5</v>
      </c>
      <c r="K13" s="2" t="s">
        <v>92</v>
      </c>
      <c r="L13" s="2" t="s">
        <v>93</v>
      </c>
    </row>
    <row r="14" spans="1:12">
      <c r="A14" s="2" t="s">
        <v>52</v>
      </c>
      <c r="B14" s="2" t="s">
        <v>123</v>
      </c>
      <c r="C14" s="2" t="s">
        <v>124</v>
      </c>
      <c r="D14" s="2" t="s">
        <v>28</v>
      </c>
      <c r="E14" s="2" t="s">
        <v>120</v>
      </c>
      <c r="F14" s="7">
        <v>230000</v>
      </c>
      <c r="G14" s="5">
        <v>8.6999999999999994E-2</v>
      </c>
      <c r="H14" s="8">
        <v>90</v>
      </c>
      <c r="I14" s="8">
        <v>93</v>
      </c>
      <c r="J14" s="9">
        <v>2.6</v>
      </c>
      <c r="K14" s="2" t="s">
        <v>92</v>
      </c>
      <c r="L14" s="2" t="s">
        <v>93</v>
      </c>
    </row>
    <row r="15" spans="1:12">
      <c r="A15" s="2" t="s">
        <v>52</v>
      </c>
      <c r="B15" s="2" t="s">
        <v>125</v>
      </c>
      <c r="C15" s="2" t="s">
        <v>126</v>
      </c>
      <c r="D15" s="2" t="s">
        <v>28</v>
      </c>
      <c r="E15" s="2" t="s">
        <v>120</v>
      </c>
      <c r="F15" s="7">
        <v>175000</v>
      </c>
      <c r="G15" s="5">
        <v>9.6000000000000002E-2</v>
      </c>
      <c r="H15" s="8">
        <v>92</v>
      </c>
      <c r="I15" s="8">
        <v>94</v>
      </c>
      <c r="J15" s="9">
        <v>2.8</v>
      </c>
      <c r="K15" s="2" t="s">
        <v>92</v>
      </c>
      <c r="L15" s="2" t="s">
        <v>93</v>
      </c>
    </row>
    <row r="16" spans="1:12">
      <c r="A16" s="2" t="s">
        <v>52</v>
      </c>
      <c r="B16" s="2" t="s">
        <v>127</v>
      </c>
      <c r="C16" s="2" t="s">
        <v>128</v>
      </c>
      <c r="D16" s="2" t="s">
        <v>104</v>
      </c>
      <c r="E16" s="2" t="s">
        <v>120</v>
      </c>
      <c r="F16" s="7">
        <v>315000</v>
      </c>
      <c r="G16" s="5">
        <v>7.3999999999999996E-2</v>
      </c>
      <c r="H16" s="8">
        <v>89</v>
      </c>
      <c r="I16" s="8">
        <v>91</v>
      </c>
      <c r="J16" s="9">
        <v>2.4</v>
      </c>
      <c r="K16" s="2" t="s">
        <v>92</v>
      </c>
      <c r="L16" s="2" t="s">
        <v>93</v>
      </c>
    </row>
    <row r="17" spans="1:12">
      <c r="A17" s="2" t="s">
        <v>60</v>
      </c>
      <c r="B17" s="2" t="s">
        <v>129</v>
      </c>
      <c r="C17" s="2" t="s">
        <v>130</v>
      </c>
      <c r="D17" s="2" t="s">
        <v>104</v>
      </c>
      <c r="E17" s="2" t="s">
        <v>131</v>
      </c>
      <c r="F17" s="7">
        <v>720000</v>
      </c>
      <c r="G17" s="5">
        <v>6.0999999999999999E-2</v>
      </c>
      <c r="H17" s="8">
        <v>96</v>
      </c>
      <c r="I17" s="8">
        <v>97</v>
      </c>
      <c r="J17" s="9">
        <v>2.8</v>
      </c>
      <c r="K17" s="2" t="s">
        <v>92</v>
      </c>
      <c r="L17" s="2" t="s">
        <v>93</v>
      </c>
    </row>
    <row r="18" spans="1:12">
      <c r="A18" s="2" t="s">
        <v>60</v>
      </c>
      <c r="B18" s="2" t="s">
        <v>132</v>
      </c>
      <c r="C18" s="2" t="s">
        <v>133</v>
      </c>
      <c r="D18" s="2" t="s">
        <v>28</v>
      </c>
      <c r="E18" s="2" t="s">
        <v>131</v>
      </c>
      <c r="F18" s="7">
        <v>265000</v>
      </c>
      <c r="G18" s="5">
        <v>7.2999999999999995E-2</v>
      </c>
      <c r="H18" s="8">
        <v>92</v>
      </c>
      <c r="I18" s="8">
        <v>94</v>
      </c>
      <c r="J18" s="9">
        <v>2.6</v>
      </c>
      <c r="K18" s="2" t="s">
        <v>92</v>
      </c>
      <c r="L18" s="2" t="s">
        <v>93</v>
      </c>
    </row>
    <row r="19" spans="1:12">
      <c r="A19" s="2" t="s">
        <v>60</v>
      </c>
      <c r="B19" s="2" t="s">
        <v>134</v>
      </c>
      <c r="C19" s="2" t="s">
        <v>135</v>
      </c>
      <c r="D19" s="2" t="s">
        <v>104</v>
      </c>
      <c r="E19" s="2" t="s">
        <v>131</v>
      </c>
      <c r="F19" s="7">
        <v>410000</v>
      </c>
      <c r="G19" s="5">
        <v>6.6000000000000003E-2</v>
      </c>
      <c r="H19" s="8">
        <v>93</v>
      </c>
      <c r="I19" s="8">
        <v>95</v>
      </c>
      <c r="J19" s="9">
        <v>2.7</v>
      </c>
      <c r="K19" s="2" t="s">
        <v>92</v>
      </c>
      <c r="L19" s="2" t="s">
        <v>93</v>
      </c>
    </row>
    <row r="20" spans="1:12">
      <c r="A20" s="2" t="s">
        <v>60</v>
      </c>
      <c r="B20" s="2" t="s">
        <v>136</v>
      </c>
      <c r="C20" s="2" t="s">
        <v>137</v>
      </c>
      <c r="D20" s="2" t="s">
        <v>104</v>
      </c>
      <c r="E20" s="2" t="s">
        <v>131</v>
      </c>
      <c r="F20" s="7">
        <v>355000</v>
      </c>
      <c r="G20" s="5">
        <v>6.9000000000000006E-2</v>
      </c>
      <c r="H20" s="8">
        <v>91</v>
      </c>
      <c r="I20" s="8">
        <v>93</v>
      </c>
      <c r="J20" s="9">
        <v>2.5</v>
      </c>
      <c r="K20" s="2" t="s">
        <v>92</v>
      </c>
      <c r="L20" s="2" t="s">
        <v>93</v>
      </c>
    </row>
    <row r="21" spans="1:12">
      <c r="A21" s="2" t="s">
        <v>69</v>
      </c>
      <c r="B21" s="2" t="s">
        <v>138</v>
      </c>
      <c r="C21" s="2" t="s">
        <v>139</v>
      </c>
      <c r="D21" s="2" t="s">
        <v>28</v>
      </c>
      <c r="E21" s="2" t="s">
        <v>140</v>
      </c>
      <c r="F21" s="7">
        <v>310000</v>
      </c>
      <c r="G21" s="5">
        <v>8.8999999999999996E-2</v>
      </c>
      <c r="H21" s="8">
        <v>95</v>
      </c>
      <c r="I21" s="8">
        <v>96</v>
      </c>
      <c r="J21" s="9">
        <v>3.1</v>
      </c>
      <c r="K21" s="2" t="s">
        <v>141</v>
      </c>
      <c r="L21" s="2" t="s">
        <v>77</v>
      </c>
    </row>
    <row r="22" spans="1:12">
      <c r="A22" s="2" t="s">
        <v>69</v>
      </c>
      <c r="B22" s="2" t="s">
        <v>142</v>
      </c>
      <c r="C22" s="2" t="s">
        <v>143</v>
      </c>
      <c r="D22" s="2" t="s">
        <v>104</v>
      </c>
      <c r="E22" s="2" t="s">
        <v>144</v>
      </c>
      <c r="F22" s="7">
        <v>445000</v>
      </c>
      <c r="G22" s="5">
        <v>7.1999999999999995E-2</v>
      </c>
      <c r="H22" s="8">
        <v>93</v>
      </c>
      <c r="I22" s="8">
        <v>94</v>
      </c>
      <c r="J22" s="9">
        <v>2.9</v>
      </c>
      <c r="K22" s="2" t="s">
        <v>141</v>
      </c>
      <c r="L22" s="2" t="s">
        <v>77</v>
      </c>
    </row>
    <row r="23" spans="1:12">
      <c r="A23" s="2" t="s">
        <v>69</v>
      </c>
      <c r="B23" s="2" t="s">
        <v>145</v>
      </c>
      <c r="C23" s="2" t="s">
        <v>146</v>
      </c>
      <c r="D23" s="2" t="s">
        <v>28</v>
      </c>
      <c r="E23" s="2" t="s">
        <v>147</v>
      </c>
      <c r="F23" s="7">
        <v>190000</v>
      </c>
      <c r="G23" s="5">
        <v>0.10100000000000001</v>
      </c>
      <c r="H23" s="8">
        <v>91</v>
      </c>
      <c r="I23" s="8">
        <v>93</v>
      </c>
      <c r="J23" s="9">
        <v>3</v>
      </c>
      <c r="K23" s="2" t="s">
        <v>141</v>
      </c>
      <c r="L23" s="2" t="s">
        <v>77</v>
      </c>
    </row>
    <row r="24" spans="1:12">
      <c r="A24" s="2" t="s">
        <v>69</v>
      </c>
      <c r="B24" s="2" t="s">
        <v>148</v>
      </c>
      <c r="C24" s="2" t="s">
        <v>149</v>
      </c>
      <c r="D24" s="2" t="s">
        <v>28</v>
      </c>
      <c r="E24" s="2" t="s">
        <v>110</v>
      </c>
      <c r="F24" s="7">
        <v>125000</v>
      </c>
      <c r="G24" s="5">
        <v>0.114</v>
      </c>
      <c r="H24" s="8">
        <v>94</v>
      </c>
      <c r="I24" s="8">
        <v>95</v>
      </c>
      <c r="J24" s="9">
        <v>3.2</v>
      </c>
      <c r="K24" s="2" t="s">
        <v>141</v>
      </c>
      <c r="L24" s="2" t="s">
        <v>77</v>
      </c>
    </row>
  </sheetData>
  <conditionalFormatting sqref="K2:K24">
    <cfRule type="expression" dxfId="0" priority="1">
      <formula>K2="Recommended"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Campaign_Data</vt:lpstr>
      <vt:lpstr>Influencer_Discovery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Dharini Soni</cp:lastModifiedBy>
  <dcterms:modified xsi:type="dcterms:W3CDTF">2026-09-09T17:58:52Z</dcterms:modified>
</cp:coreProperties>
</file>